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Tracker" sheetId="1" state="visible" r:id="rId3"/>
    <sheet name="Outreach Log" sheetId="2" state="visible" r:id="rId4"/>
    <sheet name="Revenue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<sst xmlns="http://schemas.openxmlformats.org/spreadsheetml/2006/main" count="105" uniqueCount="96">
  <si>
    <t xml:space="preserve">IntakeAI — Trial Tracker</t>
  </si>
  <si>
    <t xml:space="preserve">Track every free trial from Day 1 to conversion. Update daily.</t>
  </si>
  <si>
    <t xml:space="preserve">#</t>
  </si>
  <si>
    <t xml:space="preserve">Practice Name</t>
  </si>
  <si>
    <t xml:space="preserve">Doctor Name</t>
  </si>
  <si>
    <t xml:space="preserve">Phone</t>
  </si>
  <si>
    <t xml:space="preserve">Email</t>
  </si>
  <si>
    <t xml:space="preserve">Trial Start</t>
  </si>
  <si>
    <t xml:space="preserve">Trial End</t>
  </si>
  <si>
    <t xml:space="preserve">Days Left</t>
  </si>
  <si>
    <t xml:space="preserve">Plan</t>
  </si>
  <si>
    <t xml:space="preserve">Status</t>
  </si>
  <si>
    <t xml:space="preserve">Monthly Revenue</t>
  </si>
  <si>
    <t xml:space="preserve">Clinica Hispana Rubymed — Riverside</t>
  </si>
  <si>
    <t xml:space="preserve">Dr. [Name]</t>
  </si>
  <si>
    <t xml:space="preserve">(512) 271-9357</t>
  </si>
  <si>
    <t xml:space="preserve">email@clinic.com</t>
  </si>
  <si>
    <t xml:space="preserve">Solo Bilingual ($379)</t>
  </si>
  <si>
    <t xml:space="preserve">Trial Active</t>
  </si>
  <si>
    <t xml:space="preserve">🔥 Top priority — 5.0 stars, 998 reviews</t>
  </si>
  <si>
    <t xml:space="preserve">Clinica Hispana Round Rock</t>
  </si>
  <si>
    <t xml:space="preserve">(737) 203-8671</t>
  </si>
  <si>
    <t xml:space="preserve">Demo Booked</t>
  </si>
  <si>
    <t xml:space="preserve">Bilingual target — 550 reviews</t>
  </si>
  <si>
    <t xml:space="preserve">Rosedale Family Care Partners</t>
  </si>
  <si>
    <t xml:space="preserve">(512) 459-9889</t>
  </si>
  <si>
    <t xml:space="preserve">Solo English ($299)</t>
  </si>
  <si>
    <t xml:space="preserve">Independent practice — great fit</t>
  </si>
  <si>
    <t xml:space="preserve">TOTALS</t>
  </si>
  <si>
    <t xml:space="preserve">DAYS LEFT COLOR GUIDE</t>
  </si>
  <si>
    <t xml:space="preserve">≤ 7 days — Contact NOW to convert</t>
  </si>
  <si>
    <t xml:space="preserve">8–14 days — Follow up this week</t>
  </si>
  <si>
    <t xml:space="preserve">&gt; 14 days — On track</t>
  </si>
  <si>
    <t xml:space="preserve">IntakeAI — Outreach Log</t>
  </si>
  <si>
    <t xml:space="preserve">Track every touchpoint. Check the box when done. Goal: 5 demos booked this week.</t>
  </si>
  <si>
    <t xml:space="preserve">Email 1
Sent</t>
  </si>
  <si>
    <t xml:space="preserve">Email 2
Follow-Up</t>
  </si>
  <si>
    <t xml:space="preserve">Called
Front Desk</t>
  </si>
  <si>
    <t xml:space="preserve">LinkedIn
DM</t>
  </si>
  <si>
    <t xml:space="preserve">Demo
Booked</t>
  </si>
  <si>
    <t xml:space="preserve">Next
Action</t>
  </si>
  <si>
    <t xml:space="preserve">Clinica Hispana Rubymed — Riverside 🔥</t>
  </si>
  <si>
    <t xml:space="preserve">Clinica Hispana Rubymed — Cameron 🔥</t>
  </si>
  <si>
    <t xml:space="preserve">Clinica Hispana Round Rock 🔥</t>
  </si>
  <si>
    <t xml:space="preserve">AMD Clinica Hispana 🔥</t>
  </si>
  <si>
    <t xml:space="preserve">Clinica Hispana Nazaret 🔥</t>
  </si>
  <si>
    <t xml:space="preserve">Rubymed Stassney 🔥</t>
  </si>
  <si>
    <t xml:space="preserve">Clinica Hispana Lamar 🔥</t>
  </si>
  <si>
    <t xml:space="preserve">Clinica Hispana Jerusalem 🔥</t>
  </si>
  <si>
    <t xml:space="preserve">Dr. Merlin Abraham — Pflugerville</t>
  </si>
  <si>
    <t xml:space="preserve">Cathy Anne Castillo MD</t>
  </si>
  <si>
    <t xml:space="preserve">Dr. Brynna Connor</t>
  </si>
  <si>
    <t xml:space="preserve">Thomas E. Martens DO</t>
  </si>
  <si>
    <t xml:space="preserve">Leah Hernandez MD</t>
  </si>
  <si>
    <t xml:space="preserve">Total Health Primary Care — Greenlawn</t>
  </si>
  <si>
    <t xml:space="preserve">Total Health Primary Care — Round Rock 79</t>
  </si>
  <si>
    <t xml:space="preserve">Family First Healthcare — Cat Hollow</t>
  </si>
  <si>
    <t xml:space="preserve">Brushy Creek Family Physicians</t>
  </si>
  <si>
    <t xml:space="preserve">Oakwood Family Medicine</t>
  </si>
  <si>
    <t xml:space="preserve">Great Oaks Family Practice — Dr. Diaz</t>
  </si>
  <si>
    <t xml:space="preserve">Paloma Primary Care</t>
  </si>
  <si>
    <t xml:space="preserve">Family Medical Center at Round Rock</t>
  </si>
  <si>
    <t xml:space="preserve">Sangeetha Mariappan MD</t>
  </si>
  <si>
    <t xml:space="preserve">Lone Star Circle of Care — Pflugerville</t>
  </si>
  <si>
    <t xml:space="preserve">CommUnityCare Pflugerville</t>
  </si>
  <si>
    <t xml:space="preserve">Village Medical — Evergreen</t>
  </si>
  <si>
    <t xml:space="preserve">Family Medicine Austin</t>
  </si>
  <si>
    <t xml:space="preserve">Family Medicine Austin — Shoal Creek</t>
  </si>
  <si>
    <t xml:space="preserve">Red River Family Practice</t>
  </si>
  <si>
    <t xml:space="preserve">Austin Family Practice Clinic</t>
  </si>
  <si>
    <t xml:space="preserve">Family Medicine Associates of Round Rock</t>
  </si>
  <si>
    <t xml:space="preserve">Clinica Hispana Stassney 🔥</t>
  </si>
  <si>
    <t xml:space="preserve">Clinica Hispana Rundberg 🔥</t>
  </si>
  <si>
    <t xml:space="preserve">Clinica Hispana Rubymed — Round Rock 🔥</t>
  </si>
  <si>
    <t xml:space="preserve">Clinica Familiar Kyle 🔥</t>
  </si>
  <si>
    <t xml:space="preserve">Clinica Hispana Nazaret — Howard Ln 🔥</t>
  </si>
  <si>
    <t xml:space="preserve">IntakeAI — Revenue Dashboard</t>
  </si>
  <si>
    <t xml:space="preserve">Live summary pulling from Trial Tracker. Updates automatically as you convert customers.</t>
  </si>
  <si>
    <t xml:space="preserve">Active Trials</t>
  </si>
  <si>
    <t xml:space="preserve">Converted</t>
  </si>
  <si>
    <t xml:space="preserve">MRR GOAL TRACKER</t>
  </si>
  <si>
    <t xml:space="preserve">Month 1 Goal</t>
  </si>
  <si>
    <t xml:space="preserve">$2,990</t>
  </si>
  <si>
    <t xml:space="preserve">10 practices × $299</t>
  </si>
  <si>
    <t xml:space="preserve">Month 2 Goal</t>
  </si>
  <si>
    <t xml:space="preserve">$5,980</t>
  </si>
  <si>
    <t xml:space="preserve">20 practices</t>
  </si>
  <si>
    <t xml:space="preserve">Month 3 Goal</t>
  </si>
  <si>
    <t xml:space="preserve">$7,490</t>
  </si>
  <si>
    <t xml:space="preserve">25 practices — Year 1 target</t>
  </si>
  <si>
    <t xml:space="preserve">Year 1 Goal</t>
  </si>
  <si>
    <t xml:space="preserve">$7,490/mo</t>
  </si>
  <si>
    <t xml:space="preserve">$71K ARR</t>
  </si>
  <si>
    <t xml:space="preserve">Year 2 Goal</t>
  </si>
  <si>
    <t xml:space="preserve">$41,690/mo</t>
  </si>
  <si>
    <t xml:space="preserve">$420K ARR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</si>
</sst>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0"/>
    <numFmt numFmtId="167" formatCode="\$#,##0"/>
    <numFmt numFmtId="168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B7C9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6E6E"/>
      <name val="Arial"/>
      <family val="0"/>
      <charset val="1"/>
    </font>
    <font>
      <sz val="10"/>
      <color rgb="FF1A2332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1"/>
      <color rgb="FF00FF88"/>
      <name val="Arial"/>
      <family val="0"/>
      <charset val="1"/>
    </font>
    <font>
      <b val="true"/>
      <sz val="9"/>
      <color rgb="FF1A2332"/>
      <name val="Arial"/>
      <family val="0"/>
      <charset val="1"/>
    </font>
    <font>
      <sz val="9"/>
      <color rgb="FF1A2332"/>
      <name val="Arial"/>
      <family val="0"/>
      <charset val="1"/>
    </font>
    <font>
      <b val="true"/>
      <sz val="9"/>
      <color rgb="FF6B7C93"/>
      <name val="Arial"/>
      <family val="0"/>
      <charset val="1"/>
    </font>
    <font>
      <b val="true"/>
      <sz val="24"/>
      <color rgb="FF1565C0"/>
      <name val="Arial"/>
      <family val="0"/>
      <charset val="1"/>
    </font>
    <font>
      <b val="true"/>
      <sz val="24"/>
      <color rgb="FF2E7D32"/>
      <name val="Arial"/>
      <family val="0"/>
      <charset val="1"/>
    </font>
    <font>
      <b val="true"/>
      <sz val="24"/>
      <color rgb="FF0D6E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b val="true"/>
      <sz val="11"/>
      <color rgb="FF0D6E6E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6E6E"/>
        <bgColor rgb="FF008080"/>
      </patternFill>
    </fill>
    <fill>
      <patternFill patternType="solid">
        <fgColor rgb="FFE8F4F4"/>
        <bgColor rgb="FFE3F2FD"/>
      </patternFill>
    </fill>
    <fill>
      <patternFill patternType="solid">
        <fgColor rgb="FF1A2332"/>
        <bgColor rgb="FF333300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E8F4F4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C8E6C9"/>
        <bgColor rgb="FFDDDDDD"/>
      </patternFill>
    </fill>
    <fill>
      <patternFill patternType="solid">
        <fgColor rgb="FFE3F2FD"/>
        <bgColor rgb="FFE8F4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62828"/>
        <sz val="10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E0B2"/>
        </patternFill>
      </fill>
    </dxf>
    <dxf>
      <font>
        <name val="Arial"/>
        <charset val="1"/>
        <family val="0"/>
        <b val="1"/>
        <color rgb="FF2E7D32"/>
        <sz val="10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1565C0"/>
        <sz val="10"/>
      </font>
      <fill>
        <patternFill>
          <bgColor rgb="FFE3F2FD"/>
        </patternFill>
      </fill>
    </dxf>
    <dxf>
      <font>
        <name val="Arial"/>
        <charset val="1"/>
        <family val="0"/>
        <b val="1"/>
        <color rgb="FF1A2332"/>
        <sz val="10"/>
      </font>
      <fill>
        <patternFill>
          <bgColor rgb="FFFFF9C4"/>
        </patternFill>
      </fill>
    </dxf>
    <dxf>
      <font>
        <name val="Arial"/>
        <charset val="1"/>
        <family val="0"/>
        <color rgb="FFC62828"/>
        <sz val="10"/>
      </font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800000"/>
      <rgbColor rgb="FF008000"/>
      <rgbColor rgb="FF000080"/>
      <rgbColor rgb="FF808000"/>
      <rgbColor rgb="FF800080"/>
      <rgbColor rgb="FF0D6E6E"/>
      <rgbColor rgb="FFFFCDD2"/>
      <rgbColor rgb="FF6B7C93"/>
      <rgbColor rgb="FF9999FF"/>
      <rgbColor rgb="FF993366"/>
      <rgbColor rgb="FFFFF9C4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4"/>
      <rgbColor rgb="FFC8E6C9"/>
      <rgbColor rgb="FFF5F7FA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8" min="6" style="0" width="13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32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customFormat="false" ht="21.75" hidden="false" customHeight="true" outlineLevel="0" collapsed="false">
      <c r="B5" s="4" t="n">
        <v>1</v>
      </c>
      <c r="C5" s="5" t="s">
        <v>13</v>
      </c>
      <c r="D5" s="5" t="s">
        <v>14</v>
      </c>
      <c r="E5" s="5" t="s">
        <v>15</v>
      </c>
      <c r="F5" s="5" t="s">
        <v>16</v>
      </c>
      <c r="G5" s="6" t="n">
        <v>46114</v>
      </c>
      <c r="H5" s="6" t="n">
        <v>46144</v>
      </c>
      <c r="I5" s="7" t="n">
        <f aca="true">IF(H5="","",H5-TODAY())</f>
        <v>30</v>
      </c>
      <c r="J5" s="5" t="s">
        <v>17</v>
      </c>
      <c r="K5" s="5" t="s">
        <v>18</v>
      </c>
      <c r="L5" s="8" t="n">
        <f aca="false">IF(J5="Solo English ($299)",299,IF(J5="Solo Bilingual ($379)",379,IF(J5="Group English ($499)",499,IF(J5="Group Bilingual ($599)",599,IF(J5="Enterprise ($2500)",2500,"")))))</f>
        <v>379</v>
      </c>
      <c r="M5" s="9" t="s">
        <v>19</v>
      </c>
    </row>
    <row r="6" customFormat="false" ht="21.75" hidden="false" customHeight="true" outlineLevel="0" collapsed="false">
      <c r="B6" s="10" t="n">
        <v>2</v>
      </c>
      <c r="C6" s="11" t="s">
        <v>20</v>
      </c>
      <c r="D6" s="11" t="s">
        <v>14</v>
      </c>
      <c r="E6" s="11" t="s">
        <v>21</v>
      </c>
      <c r="F6" s="11" t="s">
        <v>16</v>
      </c>
      <c r="G6" s="12" t="n">
        <v>46114</v>
      </c>
      <c r="H6" s="12" t="n">
        <v>46144</v>
      </c>
      <c r="I6" s="13" t="n">
        <f aca="true">IF(H6="","",H6-TODAY())</f>
        <v>30</v>
      </c>
      <c r="J6" s="11" t="s">
        <v>17</v>
      </c>
      <c r="K6" s="11" t="s">
        <v>22</v>
      </c>
      <c r="L6" s="14" t="n">
        <f aca="false">IF(J6="Solo English ($299)",299,IF(J6="Solo Bilingual ($379)",379,IF(J6="Group English ($499)",499,IF(J6="Group Bilingual ($599)",599,IF(J6="Enterprise ($2500)",2500,"")))))</f>
        <v>379</v>
      </c>
      <c r="M6" s="9" t="s">
        <v>23</v>
      </c>
    </row>
    <row r="7" customFormat="false" ht="21.75" hidden="false" customHeight="true" outlineLevel="0" collapsed="false">
      <c r="B7" s="4" t="n">
        <v>3</v>
      </c>
      <c r="C7" s="5" t="s">
        <v>24</v>
      </c>
      <c r="D7" s="5" t="s">
        <v>14</v>
      </c>
      <c r="E7" s="5" t="s">
        <v>25</v>
      </c>
      <c r="F7" s="5" t="s">
        <v>16</v>
      </c>
      <c r="G7" s="6" t="n">
        <v>46114</v>
      </c>
      <c r="H7" s="6" t="n">
        <v>46144</v>
      </c>
      <c r="I7" s="7" t="n">
        <f aca="true">IF(H7="","",H7-TODAY())</f>
        <v>30</v>
      </c>
      <c r="J7" s="5" t="s">
        <v>26</v>
      </c>
      <c r="K7" s="5" t="s">
        <v>18</v>
      </c>
      <c r="L7" s="8" t="n">
        <f aca="false">IF(J7="Solo English ($299)",299,IF(J7="Solo Bilingual ($379)",379,IF(J7="Group English ($499)",499,IF(J7="Group Bilingual ($599)",599,IF(J7="Enterprise ($2500)",2500,"")))))</f>
        <v>299</v>
      </c>
      <c r="M7" s="9" t="s">
        <v>27</v>
      </c>
    </row>
    <row r="8" customFormat="false" ht="21.75" hidden="false" customHeight="true" outlineLevel="0" collapsed="false">
      <c r="B8" s="10" t="n">
        <v>4</v>
      </c>
      <c r="C8" s="11"/>
      <c r="D8" s="11"/>
      <c r="E8" s="11"/>
      <c r="F8" s="11"/>
      <c r="G8" s="11"/>
      <c r="H8" s="11"/>
      <c r="I8" s="13" t="str">
        <f aca="true">IF(H8="","",H8-TODAY())</f>
        <v/>
      </c>
      <c r="J8" s="11"/>
      <c r="K8" s="11"/>
      <c r="L8" s="14" t="str">
        <f aca="false">IF(J8="Solo English ($299)",299,IF(J8="Solo Bilingual ($379)",379,IF(J8="Group English ($499)",499,IF(J8="Group Bilingual ($599)",599,IF(J8="Enterprise ($2500)",2500,"")))))</f>
        <v/>
      </c>
    </row>
    <row r="9" customFormat="false" ht="21.75" hidden="false" customHeight="true" outlineLevel="0" collapsed="false">
      <c r="B9" s="4" t="n">
        <v>5</v>
      </c>
      <c r="C9" s="5"/>
      <c r="D9" s="5"/>
      <c r="E9" s="5"/>
      <c r="F9" s="5"/>
      <c r="G9" s="5"/>
      <c r="H9" s="5"/>
      <c r="I9" s="7" t="str">
        <f aca="true">IF(H9="","",H9-TODAY())</f>
        <v/>
      </c>
      <c r="J9" s="5"/>
      <c r="K9" s="5"/>
      <c r="L9" s="8" t="str">
        <f aca="false">IF(J9="Solo English ($299)",299,IF(J9="Solo Bilingual ($379)",379,IF(J9="Group English ($499)",499,IF(J9="Group Bilingual ($599)",599,IF(J9="Enterprise ($2500)",2500,"")))))</f>
        <v/>
      </c>
    </row>
    <row r="10" customFormat="false" ht="21.75" hidden="false" customHeight="true" outlineLevel="0" collapsed="false">
      <c r="B10" s="10" t="n">
        <v>6</v>
      </c>
      <c r="C10" s="11"/>
      <c r="D10" s="11"/>
      <c r="E10" s="11"/>
      <c r="F10" s="11"/>
      <c r="G10" s="11"/>
      <c r="H10" s="11"/>
      <c r="I10" s="13" t="str">
        <f aca="true">IF(H10="","",H10-TODAY())</f>
        <v/>
      </c>
      <c r="J10" s="11"/>
      <c r="K10" s="11"/>
      <c r="L10" s="14" t="str">
        <f aca="false">IF(J10="Solo English ($299)",299,IF(J10="Solo Bilingual ($379)",379,IF(J10="Group English ($499)",499,IF(J10="Group Bilingual ($599)",599,IF(J10="Enterprise ($2500)",2500,"")))))</f>
        <v/>
      </c>
    </row>
    <row r="11" customFormat="false" ht="21.75" hidden="false" customHeight="true" outlineLevel="0" collapsed="false">
      <c r="B11" s="4" t="n">
        <v>7</v>
      </c>
      <c r="C11" s="5"/>
      <c r="D11" s="5"/>
      <c r="E11" s="5"/>
      <c r="F11" s="5"/>
      <c r="G11" s="5"/>
      <c r="H11" s="5"/>
      <c r="I11" s="7" t="str">
        <f aca="true">IF(H11="","",H11-TODAY())</f>
        <v/>
      </c>
      <c r="J11" s="5"/>
      <c r="K11" s="5"/>
      <c r="L11" s="8" t="str">
        <f aca="false">IF(J11="Solo English ($299)",299,IF(J11="Solo Bilingual ($379)",379,IF(J11="Group English ($499)",499,IF(J11="Group Bilingual ($599)",599,IF(J11="Enterprise ($2500)",2500,"")))))</f>
        <v/>
      </c>
    </row>
    <row r="12" customFormat="false" ht="21.75" hidden="false" customHeight="true" outlineLevel="0" collapsed="false">
      <c r="B12" s="10" t="n">
        <v>8</v>
      </c>
      <c r="C12" s="11"/>
      <c r="D12" s="11"/>
      <c r="E12" s="11"/>
      <c r="F12" s="11"/>
      <c r="G12" s="11"/>
      <c r="H12" s="11"/>
      <c r="I12" s="13" t="str">
        <f aca="true">IF(H12="","",H12-TODAY())</f>
        <v/>
      </c>
      <c r="J12" s="11"/>
      <c r="K12" s="11"/>
      <c r="L12" s="14" t="str">
        <f aca="false">IF(J12="Solo English ($299)",299,IF(J12="Solo Bilingual ($379)",379,IF(J12="Group English ($499)",499,IF(J12="Group Bilingual ($599)",599,IF(J12="Enterprise ($2500)",2500,"")))))</f>
        <v/>
      </c>
    </row>
    <row r="13" customFormat="false" ht="21.75" hidden="false" customHeight="true" outlineLevel="0" collapsed="false">
      <c r="B13" s="4" t="n">
        <v>9</v>
      </c>
      <c r="C13" s="5"/>
      <c r="D13" s="5"/>
      <c r="E13" s="5"/>
      <c r="F13" s="5"/>
      <c r="G13" s="5"/>
      <c r="H13" s="5"/>
      <c r="I13" s="7" t="str">
        <f aca="true">IF(H13="","",H13-TODAY())</f>
        <v/>
      </c>
      <c r="J13" s="5"/>
      <c r="K13" s="5"/>
      <c r="L13" s="8" t="str">
        <f aca="false">IF(J13="Solo English ($299)",299,IF(J13="Solo Bilingual ($379)",379,IF(J13="Group English ($499)",499,IF(J13="Group Bilingual ($599)",599,IF(J13="Enterprise ($2500)",2500,"")))))</f>
        <v/>
      </c>
    </row>
    <row r="14" customFormat="false" ht="21.75" hidden="false" customHeight="true" outlineLevel="0" collapsed="false">
      <c r="B14" s="10" t="n">
        <v>10</v>
      </c>
      <c r="C14" s="11"/>
      <c r="D14" s="11"/>
      <c r="E14" s="11"/>
      <c r="F14" s="11"/>
      <c r="G14" s="11"/>
      <c r="H14" s="11"/>
      <c r="I14" s="13" t="str">
        <f aca="true">IF(H14="","",H14-TODAY())</f>
        <v/>
      </c>
      <c r="J14" s="11"/>
      <c r="K14" s="11"/>
      <c r="L14" s="14" t="str">
        <f aca="false">IF(J14="Solo English ($299)",299,IF(J14="Solo Bilingual ($379)",379,IF(J14="Group English ($499)",499,IF(J14="Group Bilingual ($599)",599,IF(J14="Enterprise ($2500)",2500,"")))))</f>
        <v/>
      </c>
    </row>
    <row r="15" customFormat="false" ht="21.75" hidden="false" customHeight="true" outlineLevel="0" collapsed="false">
      <c r="B15" s="4" t="n">
        <v>11</v>
      </c>
      <c r="C15" s="5"/>
      <c r="D15" s="5"/>
      <c r="E15" s="5"/>
      <c r="F15" s="5"/>
      <c r="G15" s="5"/>
      <c r="H15" s="5"/>
      <c r="I15" s="7" t="str">
        <f aca="true">IF(H15="","",H15-TODAY())</f>
        <v/>
      </c>
      <c r="J15" s="5"/>
      <c r="K15" s="5"/>
      <c r="L15" s="8" t="str">
        <f aca="false">IF(J15="Solo English ($299)",299,IF(J15="Solo Bilingual ($379)",379,IF(J15="Group English ($499)",499,IF(J15="Group Bilingual ($599)",599,IF(J15="Enterprise ($2500)",2500,"")))))</f>
        <v/>
      </c>
    </row>
    <row r="16" customFormat="false" ht="21.75" hidden="false" customHeight="true" outlineLevel="0" collapsed="false">
      <c r="B16" s="10" t="n">
        <v>12</v>
      </c>
      <c r="C16" s="11"/>
      <c r="D16" s="11"/>
      <c r="E16" s="11"/>
      <c r="F16" s="11"/>
      <c r="G16" s="11"/>
      <c r="H16" s="11"/>
      <c r="I16" s="13" t="str">
        <f aca="true">IF(H16="","",H16-TODAY())</f>
        <v/>
      </c>
      <c r="J16" s="11"/>
      <c r="K16" s="11"/>
      <c r="L16" s="14" t="str">
        <f aca="false">IF(J16="Solo English ($299)",299,IF(J16="Solo Bilingual ($379)",379,IF(J16="Group English ($499)",499,IF(J16="Group Bilingual ($599)",599,IF(J16="Enterprise ($2500)",2500,"")))))</f>
        <v/>
      </c>
    </row>
    <row r="17" customFormat="false" ht="21.75" hidden="false" customHeight="true" outlineLevel="0" collapsed="false">
      <c r="B17" s="4" t="n">
        <v>13</v>
      </c>
      <c r="C17" s="5"/>
      <c r="D17" s="5"/>
      <c r="E17" s="5"/>
      <c r="F17" s="5"/>
      <c r="G17" s="5"/>
      <c r="H17" s="5"/>
      <c r="I17" s="7" t="str">
        <f aca="true">IF(H17="","",H17-TODAY())</f>
        <v/>
      </c>
      <c r="J17" s="5"/>
      <c r="K17" s="5"/>
      <c r="L17" s="8" t="str">
        <f aca="false">IF(J17="Solo English ($299)",299,IF(J17="Solo Bilingual ($379)",379,IF(J17="Group English ($499)",499,IF(J17="Group Bilingual ($599)",599,IF(J17="Enterprise ($2500)",2500,"")))))</f>
        <v/>
      </c>
    </row>
    <row r="18" customFormat="false" ht="21.75" hidden="false" customHeight="true" outlineLevel="0" collapsed="false">
      <c r="B18" s="10" t="n">
        <v>14</v>
      </c>
      <c r="C18" s="11"/>
      <c r="D18" s="11"/>
      <c r="E18" s="11"/>
      <c r="F18" s="11"/>
      <c r="G18" s="11"/>
      <c r="H18" s="11"/>
      <c r="I18" s="13" t="str">
        <f aca="true">IF(H18="","",H18-TODAY())</f>
        <v/>
      </c>
      <c r="J18" s="11"/>
      <c r="K18" s="11"/>
      <c r="L18" s="14" t="str">
        <f aca="false">IF(J18="Solo English ($299)",299,IF(J18="Solo Bilingual ($379)",379,IF(J18="Group English ($499)",499,IF(J18="Group Bilingual ($599)",599,IF(J18="Enterprise ($2500)",2500,"")))))</f>
        <v/>
      </c>
    </row>
    <row r="19" customFormat="false" ht="21.75" hidden="false" customHeight="true" outlineLevel="0" collapsed="false">
      <c r="B19" s="4" t="n">
        <v>15</v>
      </c>
      <c r="C19" s="5"/>
      <c r="D19" s="5"/>
      <c r="E19" s="5"/>
      <c r="F19" s="5"/>
      <c r="G19" s="5"/>
      <c r="H19" s="5"/>
      <c r="I19" s="7" t="str">
        <f aca="true">IF(H19="","",H19-TODAY())</f>
        <v/>
      </c>
      <c r="J19" s="5"/>
      <c r="K19" s="5"/>
      <c r="L19" s="8" t="str">
        <f aca="false">IF(J19="Solo English ($299)",299,IF(J19="Solo Bilingual ($379)",379,IF(J19="Group English ($499)",499,IF(J19="Group Bilingual ($599)",599,IF(J19="Enterprise ($2500)",2500,"")))))</f>
        <v/>
      </c>
    </row>
    <row r="20" customFormat="false" ht="21.75" hidden="false" customHeight="true" outlineLevel="0" collapsed="false">
      <c r="B20" s="10" t="n">
        <v>16</v>
      </c>
      <c r="C20" s="11"/>
      <c r="D20" s="11"/>
      <c r="E20" s="11"/>
      <c r="F20" s="11"/>
      <c r="G20" s="11"/>
      <c r="H20" s="11"/>
      <c r="I20" s="13" t="str">
        <f aca="true">IF(H20="","",H20-TODAY())</f>
        <v/>
      </c>
      <c r="J20" s="11"/>
      <c r="K20" s="11"/>
      <c r="L20" s="14" t="str">
        <f aca="false">IF(J20="Solo English ($299)",299,IF(J20="Solo Bilingual ($379)",379,IF(J20="Group English ($499)",499,IF(J20="Group Bilingual ($599)",599,IF(J20="Enterprise ($2500)",2500,"")))))</f>
        <v/>
      </c>
    </row>
    <row r="21" customFormat="false" ht="21.75" hidden="false" customHeight="true" outlineLevel="0" collapsed="false">
      <c r="B21" s="4" t="n">
        <v>17</v>
      </c>
      <c r="C21" s="5"/>
      <c r="D21" s="5"/>
      <c r="E21" s="5"/>
      <c r="F21" s="5"/>
      <c r="G21" s="5"/>
      <c r="H21" s="5"/>
      <c r="I21" s="7" t="str">
        <f aca="true">IF(H21="","",H21-TODAY())</f>
        <v/>
      </c>
      <c r="J21" s="5"/>
      <c r="K21" s="5"/>
      <c r="L21" s="8" t="str">
        <f aca="false">IF(J21="Solo English ($299)",299,IF(J21="Solo Bilingual ($379)",379,IF(J21="Group English ($499)",499,IF(J21="Group Bilingual ($599)",599,IF(J21="Enterprise ($2500)",2500,"")))))</f>
        <v/>
      </c>
    </row>
    <row r="22" customFormat="false" ht="21.75" hidden="false" customHeight="true" outlineLevel="0" collapsed="false">
      <c r="B22" s="10" t="n">
        <v>18</v>
      </c>
      <c r="C22" s="11"/>
      <c r="D22" s="11"/>
      <c r="E22" s="11"/>
      <c r="F22" s="11"/>
      <c r="G22" s="11"/>
      <c r="H22" s="11"/>
      <c r="I22" s="13" t="str">
        <f aca="true">IF(H22="","",H22-TODAY())</f>
        <v/>
      </c>
      <c r="J22" s="11"/>
      <c r="K22" s="11"/>
      <c r="L22" s="14" t="str">
        <f aca="false">IF(J22="Solo English ($299)",299,IF(J22="Solo Bilingual ($379)",379,IF(J22="Group English ($499)",499,IF(J22="Group Bilingual ($599)",599,IF(J22="Enterprise ($2500)",2500,"")))))</f>
        <v/>
      </c>
    </row>
    <row r="23" customFormat="false" ht="21.75" hidden="false" customHeight="true" outlineLevel="0" collapsed="false">
      <c r="B23" s="4" t="n">
        <v>19</v>
      </c>
      <c r="C23" s="5"/>
      <c r="D23" s="5"/>
      <c r="E23" s="5"/>
      <c r="F23" s="5"/>
      <c r="G23" s="5"/>
      <c r="H23" s="5"/>
      <c r="I23" s="7" t="str">
        <f aca="true">IF(H23="","",H23-TODAY())</f>
        <v/>
      </c>
      <c r="J23" s="5"/>
      <c r="K23" s="5"/>
      <c r="L23" s="8" t="str">
        <f aca="false">IF(J23="Solo English ($299)",299,IF(J23="Solo Bilingual ($379)",379,IF(J23="Group English ($499)",499,IF(J23="Group Bilingual ($599)",599,IF(J23="Enterprise ($2500)",2500,"")))))</f>
        <v/>
      </c>
    </row>
    <row r="24" customFormat="false" ht="21.75" hidden="false" customHeight="true" outlineLevel="0" collapsed="false">
      <c r="B24" s="10" t="n">
        <v>20</v>
      </c>
      <c r="C24" s="11"/>
      <c r="D24" s="11"/>
      <c r="E24" s="11"/>
      <c r="F24" s="11"/>
      <c r="G24" s="11"/>
      <c r="H24" s="11"/>
      <c r="I24" s="13" t="str">
        <f aca="true">IF(H24="","",H24-TODAY())</f>
        <v/>
      </c>
      <c r="J24" s="11"/>
      <c r="K24" s="11"/>
      <c r="L24" s="14" t="str">
        <f aca="false">IF(J24="Solo English ($299)",299,IF(J24="Solo Bilingual ($379)",379,IF(J24="Group English ($499)",499,IF(J24="Group Bilingual ($599)",599,IF(J24="Enterprise ($2500)",2500,"")))))</f>
        <v/>
      </c>
    </row>
    <row r="25" customFormat="false" ht="21.75" hidden="false" customHeight="true" outlineLevel="0" collapsed="false">
      <c r="B25" s="4" t="n">
        <v>21</v>
      </c>
      <c r="C25" s="5"/>
      <c r="D25" s="5"/>
      <c r="E25" s="5"/>
      <c r="F25" s="5"/>
      <c r="G25" s="5"/>
      <c r="H25" s="5"/>
      <c r="I25" s="7" t="str">
        <f aca="true">IF(H25="","",H25-TODAY())</f>
        <v/>
      </c>
      <c r="J25" s="5"/>
      <c r="K25" s="5"/>
      <c r="L25" s="8" t="str">
        <f aca="false">IF(J25="Solo English ($299)",299,IF(J25="Solo Bilingual ($379)",379,IF(J25="Group English ($499)",499,IF(J25="Group Bilingual ($599)",599,IF(J25="Enterprise ($2500)",2500,"")))))</f>
        <v/>
      </c>
    </row>
    <row r="26" customFormat="false" ht="21.75" hidden="false" customHeight="true" outlineLevel="0" collapsed="false">
      <c r="B26" s="10" t="n">
        <v>22</v>
      </c>
      <c r="C26" s="11"/>
      <c r="D26" s="11"/>
      <c r="E26" s="11"/>
      <c r="F26" s="11"/>
      <c r="G26" s="11"/>
      <c r="H26" s="11"/>
      <c r="I26" s="13" t="str">
        <f aca="true">IF(H26="","",H26-TODAY())</f>
        <v/>
      </c>
      <c r="J26" s="11"/>
      <c r="K26" s="11"/>
      <c r="L26" s="14" t="str">
        <f aca="false">IF(J26="Solo English ($299)",299,IF(J26="Solo Bilingual ($379)",379,IF(J26="Group English ($499)",499,IF(J26="Group Bilingual ($599)",599,IF(J26="Enterprise ($2500)",2500,"")))))</f>
        <v/>
      </c>
    </row>
    <row r="27" customFormat="false" ht="21.75" hidden="false" customHeight="true" outlineLevel="0" collapsed="false">
      <c r="B27" s="4" t="n">
        <v>23</v>
      </c>
      <c r="C27" s="5"/>
      <c r="D27" s="5"/>
      <c r="E27" s="5"/>
      <c r="F27" s="5"/>
      <c r="G27" s="5"/>
      <c r="H27" s="5"/>
      <c r="I27" s="7" t="str">
        <f aca="true">IF(H27="","",H27-TODAY())</f>
        <v/>
      </c>
      <c r="J27" s="5"/>
      <c r="K27" s="5"/>
      <c r="L27" s="8" t="str">
        <f aca="false">IF(J27="Solo English ($299)",299,IF(J27="Solo Bilingual ($379)",379,IF(J27="Group English ($499)",499,IF(J27="Group Bilingual ($599)",599,IF(J27="Enterprise ($2500)",2500,"")))))</f>
        <v/>
      </c>
    </row>
    <row r="28" customFormat="false" ht="21.75" hidden="false" customHeight="true" outlineLevel="0" collapsed="false">
      <c r="B28" s="10" t="n">
        <v>24</v>
      </c>
      <c r="C28" s="11"/>
      <c r="D28" s="11"/>
      <c r="E28" s="11"/>
      <c r="F28" s="11"/>
      <c r="G28" s="11"/>
      <c r="H28" s="11"/>
      <c r="I28" s="13" t="str">
        <f aca="true">IF(H28="","",H28-TODAY())</f>
        <v/>
      </c>
      <c r="J28" s="11"/>
      <c r="K28" s="11"/>
      <c r="L28" s="14" t="str">
        <f aca="false">IF(J28="Solo English ($299)",299,IF(J28="Solo Bilingual ($379)",379,IF(J28="Group English ($499)",499,IF(J28="Group Bilingual ($599)",599,IF(J28="Enterprise ($2500)",2500,"")))))</f>
        <v/>
      </c>
    </row>
    <row r="29" customFormat="false" ht="21.75" hidden="false" customHeight="true" outlineLevel="0" collapsed="false">
      <c r="B29" s="4" t="n">
        <v>25</v>
      </c>
      <c r="C29" s="5"/>
      <c r="D29" s="5"/>
      <c r="E29" s="5"/>
      <c r="F29" s="5"/>
      <c r="G29" s="5"/>
      <c r="H29" s="5"/>
      <c r="I29" s="7" t="str">
        <f aca="true">IF(H29="","",H29-TODAY())</f>
        <v/>
      </c>
      <c r="J29" s="5"/>
      <c r="K29" s="5"/>
      <c r="L29" s="8" t="str">
        <f aca="false">IF(J29="Solo English ($299)",299,IF(J29="Solo Bilingual ($379)",379,IF(J29="Group English ($499)",499,IF(J29="Group Bilingual ($599)",599,IF(J29="Enterprise ($2500)",2500,"")))))</f>
        <v/>
      </c>
    </row>
    <row r="30" customFormat="false" ht="21.75" hidden="false" customHeight="true" outlineLevel="0" collapsed="false">
      <c r="B30" s="10" t="n">
        <v>26</v>
      </c>
      <c r="C30" s="11"/>
      <c r="D30" s="11"/>
      <c r="E30" s="11"/>
      <c r="F30" s="11"/>
      <c r="G30" s="11"/>
      <c r="H30" s="11"/>
      <c r="I30" s="13" t="str">
        <f aca="true">IF(H30="","",H30-TODAY())</f>
        <v/>
      </c>
      <c r="J30" s="11"/>
      <c r="K30" s="11"/>
      <c r="L30" s="14" t="str">
        <f aca="false">IF(J30="Solo English ($299)",299,IF(J30="Solo Bilingual ($379)",379,IF(J30="Group English ($499)",499,IF(J30="Group Bilingual ($599)",599,IF(J30="Enterprise ($2500)",2500,"")))))</f>
        <v/>
      </c>
    </row>
    <row r="31" customFormat="false" ht="21.75" hidden="false" customHeight="true" outlineLevel="0" collapsed="false">
      <c r="B31" s="4" t="n">
        <v>27</v>
      </c>
      <c r="C31" s="5"/>
      <c r="D31" s="5"/>
      <c r="E31" s="5"/>
      <c r="F31" s="5"/>
      <c r="G31" s="5"/>
      <c r="H31" s="5"/>
      <c r="I31" s="7" t="str">
        <f aca="true">IF(H31="","",H31-TODAY())</f>
        <v/>
      </c>
      <c r="J31" s="5"/>
      <c r="K31" s="5"/>
      <c r="L31" s="8" t="str">
        <f aca="false">IF(J31="Solo English ($299)",299,IF(J31="Solo Bilingual ($379)",379,IF(J31="Group English ($499)",499,IF(J31="Group Bilingual ($599)",599,IF(J31="Enterprise ($2500)",2500,"")))))</f>
        <v/>
      </c>
    </row>
    <row r="32" customFormat="false" ht="21.75" hidden="false" customHeight="true" outlineLevel="0" collapsed="false">
      <c r="B32" s="10" t="n">
        <v>28</v>
      </c>
      <c r="C32" s="11"/>
      <c r="D32" s="11"/>
      <c r="E32" s="11"/>
      <c r="F32" s="11"/>
      <c r="G32" s="11"/>
      <c r="H32" s="11"/>
      <c r="I32" s="13" t="str">
        <f aca="true">IF(H32="","",H32-TODAY())</f>
        <v/>
      </c>
      <c r="J32" s="11"/>
      <c r="K32" s="11"/>
      <c r="L32" s="14" t="str">
        <f aca="false">IF(J32="Solo English ($299)",299,IF(J32="Solo Bilingual ($379)",379,IF(J32="Group English ($499)",499,IF(J32="Group Bilingual ($599)",599,IF(J32="Enterprise ($2500)",2500,"")))))</f>
        <v/>
      </c>
    </row>
    <row r="33" customFormat="false" ht="21.75" hidden="false" customHeight="true" outlineLevel="0" collapsed="false">
      <c r="B33" s="4" t="n">
        <v>29</v>
      </c>
      <c r="C33" s="5"/>
      <c r="D33" s="5"/>
      <c r="E33" s="5"/>
      <c r="F33" s="5"/>
      <c r="G33" s="5"/>
      <c r="H33" s="5"/>
      <c r="I33" s="7" t="str">
        <f aca="true">IF(H33="","",H33-TODAY())</f>
        <v/>
      </c>
      <c r="J33" s="5"/>
      <c r="K33" s="5"/>
      <c r="L33" s="8" t="str">
        <f aca="false">IF(J33="Solo English ($299)",299,IF(J33="Solo Bilingual ($379)",379,IF(J33="Group English ($499)",499,IF(J33="Group Bilingual ($599)",599,IF(J33="Enterprise ($2500)",2500,"")))))</f>
        <v/>
      </c>
    </row>
    <row r="34" customFormat="false" ht="21.75" hidden="false" customHeight="true" outlineLevel="0" collapsed="false">
      <c r="B34" s="10" t="n">
        <v>30</v>
      </c>
      <c r="C34" s="11"/>
      <c r="D34" s="11"/>
      <c r="E34" s="11"/>
      <c r="F34" s="11"/>
      <c r="G34" s="11"/>
      <c r="H34" s="11"/>
      <c r="I34" s="13" t="str">
        <f aca="true">IF(H34="","",H34-TODAY())</f>
        <v/>
      </c>
      <c r="J34" s="11"/>
      <c r="K34" s="11"/>
      <c r="L34" s="14" t="str">
        <f aca="false">IF(J34="Solo English ($299)",299,IF(J34="Solo Bilingual ($379)",379,IF(J34="Group English ($499)",499,IF(J34="Group Bilingual ($599)",599,IF(J34="Enterprise ($2500)",2500,"")))))</f>
        <v/>
      </c>
    </row>
    <row r="35" customFormat="false" ht="21.75" hidden="false" customHeight="true" outlineLevel="0" collapsed="false">
      <c r="B35" s="4" t="n">
        <v>31</v>
      </c>
      <c r="C35" s="5"/>
      <c r="D35" s="5"/>
      <c r="E35" s="5"/>
      <c r="F35" s="5"/>
      <c r="G35" s="5"/>
      <c r="H35" s="5"/>
      <c r="I35" s="7" t="str">
        <f aca="true">IF(H35="","",H35-TODAY())</f>
        <v/>
      </c>
      <c r="J35" s="5"/>
      <c r="K35" s="5"/>
      <c r="L35" s="8" t="str">
        <f aca="false">IF(J35="Solo English ($299)",299,IF(J35="Solo Bilingual ($379)",379,IF(J35="Group English ($499)",499,IF(J35="Group Bilingual ($599)",599,IF(J35="Enterprise ($2500)",2500,"")))))</f>
        <v/>
      </c>
    </row>
    <row r="36" customFormat="false" ht="21.75" hidden="false" customHeight="true" outlineLevel="0" collapsed="false">
      <c r="B36" s="10" t="n">
        <v>32</v>
      </c>
      <c r="C36" s="11"/>
      <c r="D36" s="11"/>
      <c r="E36" s="11"/>
      <c r="F36" s="11"/>
      <c r="G36" s="11"/>
      <c r="H36" s="11"/>
      <c r="I36" s="13" t="str">
        <f aca="true">IF(H36="","",H36-TODAY())</f>
        <v/>
      </c>
      <c r="J36" s="11"/>
      <c r="K36" s="11"/>
      <c r="L36" s="14" t="str">
        <f aca="false">IF(J36="Solo English ($299)",299,IF(J36="Solo Bilingual ($379)",379,IF(J36="Group English ($499)",499,IF(J36="Group Bilingual ($599)",599,IF(J36="Enterprise ($2500)",2500,"")))))</f>
        <v/>
      </c>
    </row>
    <row r="37" customFormat="false" ht="21.75" hidden="false" customHeight="true" outlineLevel="0" collapsed="false">
      <c r="B37" s="4" t="n">
        <v>33</v>
      </c>
      <c r="C37" s="5"/>
      <c r="D37" s="5"/>
      <c r="E37" s="5"/>
      <c r="F37" s="5"/>
      <c r="G37" s="5"/>
      <c r="H37" s="5"/>
      <c r="I37" s="7" t="str">
        <f aca="true">IF(H37="","",H37-TODAY())</f>
        <v/>
      </c>
      <c r="J37" s="5"/>
      <c r="K37" s="5"/>
      <c r="L37" s="8" t="str">
        <f aca="false">IF(J37="Solo English ($299)",299,IF(J37="Solo Bilingual ($379)",379,IF(J37="Group English ($499)",499,IF(J37="Group Bilingual ($599)",599,IF(J37="Enterprise ($2500)",2500,"")))))</f>
        <v/>
      </c>
    </row>
    <row r="38" customFormat="false" ht="21.75" hidden="false" customHeight="true" outlineLevel="0" collapsed="false">
      <c r="B38" s="10" t="n">
        <v>34</v>
      </c>
      <c r="C38" s="11"/>
      <c r="D38" s="11"/>
      <c r="E38" s="11"/>
      <c r="F38" s="11"/>
      <c r="G38" s="11"/>
      <c r="H38" s="11"/>
      <c r="I38" s="13" t="str">
        <f aca="true">IF(H38="","",H38-TODAY())</f>
        <v/>
      </c>
      <c r="J38" s="11"/>
      <c r="K38" s="11"/>
      <c r="L38" s="14" t="str">
        <f aca="false">IF(J38="Solo English ($299)",299,IF(J38="Solo Bilingual ($379)",379,IF(J38="Group English ($499)",499,IF(J38="Group Bilingual ($599)",599,IF(J38="Enterprise ($2500)",2500,"")))))</f>
        <v/>
      </c>
    </row>
    <row r="39" customFormat="false" ht="21.75" hidden="false" customHeight="true" outlineLevel="0" collapsed="false">
      <c r="B39" s="4" t="n">
        <v>35</v>
      </c>
      <c r="C39" s="5"/>
      <c r="D39" s="5"/>
      <c r="E39" s="5"/>
      <c r="F39" s="5"/>
      <c r="G39" s="5"/>
      <c r="H39" s="5"/>
      <c r="I39" s="7" t="str">
        <f aca="true">IF(H39="","",H39-TODAY())</f>
        <v/>
      </c>
      <c r="J39" s="5"/>
      <c r="K39" s="5"/>
      <c r="L39" s="8" t="str">
        <f aca="false">IF(J39="Solo English ($299)",299,IF(J39="Solo Bilingual ($379)",379,IF(J39="Group English ($499)",499,IF(J39="Group Bilingual ($599)",599,IF(J39="Enterprise ($2500)",2500,"")))))</f>
        <v/>
      </c>
    </row>
    <row r="40" customFormat="false" ht="21.75" hidden="false" customHeight="true" outlineLevel="0" collapsed="false">
      <c r="B40" s="10" t="n">
        <v>36</v>
      </c>
      <c r="C40" s="11"/>
      <c r="D40" s="11"/>
      <c r="E40" s="11"/>
      <c r="F40" s="11"/>
      <c r="G40" s="11"/>
      <c r="H40" s="11"/>
      <c r="I40" s="13" t="str">
        <f aca="true">IF(H40="","",H40-TODAY())</f>
        <v/>
      </c>
      <c r="J40" s="11"/>
      <c r="K40" s="11"/>
      <c r="L40" s="14" t="str">
        <f aca="false">IF(J40="Solo English ($299)",299,IF(J40="Solo Bilingual ($379)",379,IF(J40="Group English ($499)",499,IF(J40="Group Bilingual ($599)",599,IF(J40="Enterprise ($2500)",2500,"")))))</f>
        <v/>
      </c>
    </row>
    <row r="41" customFormat="false" ht="21.75" hidden="false" customHeight="true" outlineLevel="0" collapsed="false">
      <c r="B41" s="4" t="n">
        <v>37</v>
      </c>
      <c r="C41" s="5"/>
      <c r="D41" s="5"/>
      <c r="E41" s="5"/>
      <c r="F41" s="5"/>
      <c r="G41" s="5"/>
      <c r="H41" s="5"/>
      <c r="I41" s="7" t="str">
        <f aca="true">IF(H41="","",H41-TODAY())</f>
        <v/>
      </c>
      <c r="J41" s="5"/>
      <c r="K41" s="5"/>
      <c r="L41" s="8" t="str">
        <f aca="false">IF(J41="Solo English ($299)",299,IF(J41="Solo Bilingual ($379)",379,IF(J41="Group English ($499)",499,IF(J41="Group Bilingual ($599)",599,IF(J41="Enterprise ($2500)",2500,"")))))</f>
        <v/>
      </c>
    </row>
    <row r="42" customFormat="false" ht="21.75" hidden="false" customHeight="true" outlineLevel="0" collapsed="false">
      <c r="B42" s="10" t="n">
        <v>38</v>
      </c>
      <c r="C42" s="11"/>
      <c r="D42" s="11"/>
      <c r="E42" s="11"/>
      <c r="F42" s="11"/>
      <c r="G42" s="11"/>
      <c r="H42" s="11"/>
      <c r="I42" s="13" t="str">
        <f aca="true">IF(H42="","",H42-TODAY())</f>
        <v/>
      </c>
      <c r="J42" s="11"/>
      <c r="K42" s="11"/>
      <c r="L42" s="14" t="str">
        <f aca="false">IF(J42="Solo English ($299)",299,IF(J42="Solo Bilingual ($379)",379,IF(J42="Group English ($499)",499,IF(J42="Group Bilingual ($599)",599,IF(J42="Enterprise ($2500)",2500,"")))))</f>
        <v/>
      </c>
    </row>
    <row r="43" customFormat="false" ht="21.75" hidden="false" customHeight="true" outlineLevel="0" collapsed="false">
      <c r="B43" s="4" t="n">
        <v>39</v>
      </c>
      <c r="C43" s="5"/>
      <c r="D43" s="5"/>
      <c r="E43" s="5"/>
      <c r="F43" s="5"/>
      <c r="G43" s="5"/>
      <c r="H43" s="5"/>
      <c r="I43" s="7" t="str">
        <f aca="true">IF(H43="","",H43-TODAY())</f>
        <v/>
      </c>
      <c r="J43" s="5"/>
      <c r="K43" s="5"/>
      <c r="L43" s="8" t="str">
        <f aca="false">IF(J43="Solo English ($299)",299,IF(J43="Solo Bilingual ($379)",379,IF(J43="Group English ($499)",499,IF(J43="Group Bilingual ($599)",599,IF(J43="Enterprise ($2500)",2500,"")))))</f>
        <v/>
      </c>
    </row>
    <row r="44" customFormat="false" ht="21.75" hidden="false" customHeight="true" outlineLevel="0" collapsed="false">
      <c r="B44" s="10" t="n">
        <v>40</v>
      </c>
      <c r="C44" s="11"/>
      <c r="D44" s="11"/>
      <c r="E44" s="11"/>
      <c r="F44" s="11"/>
      <c r="G44" s="11"/>
      <c r="H44" s="11"/>
      <c r="I44" s="13" t="str">
        <f aca="true">IF(H44="","",H44-TODAY())</f>
        <v/>
      </c>
      <c r="J44" s="11"/>
      <c r="K44" s="11"/>
      <c r="L44" s="14" t="str">
        <f aca="false">IF(J44="Solo English ($299)",299,IF(J44="Solo Bilingual ($379)",379,IF(J44="Group English ($499)",499,IF(J44="Group Bilingual ($599)",599,IF(J44="Enterprise ($2500)",2500,"")))))</f>
        <v/>
      </c>
    </row>
    <row r="45" customFormat="false" ht="21.75" hidden="false" customHeight="true" outlineLevel="0" collapsed="false">
      <c r="B45" s="4" t="n">
        <v>41</v>
      </c>
      <c r="C45" s="5"/>
      <c r="D45" s="5"/>
      <c r="E45" s="5"/>
      <c r="F45" s="5"/>
      <c r="G45" s="5"/>
      <c r="H45" s="5"/>
      <c r="I45" s="7" t="str">
        <f aca="true">IF(H45="","",H45-TODAY())</f>
        <v/>
      </c>
      <c r="J45" s="5"/>
      <c r="K45" s="5"/>
      <c r="L45" s="8" t="str">
        <f aca="false">IF(J45="Solo English ($299)",299,IF(J45="Solo Bilingual ($379)",379,IF(J45="Group English ($499)",499,IF(J45="Group Bilingual ($599)",599,IF(J45="Enterprise ($2500)",2500,"")))))</f>
        <v/>
      </c>
    </row>
    <row r="46" customFormat="false" ht="21.75" hidden="false" customHeight="true" outlineLevel="0" collapsed="false">
      <c r="B46" s="10" t="n">
        <v>42</v>
      </c>
      <c r="C46" s="11"/>
      <c r="D46" s="11"/>
      <c r="E46" s="11"/>
      <c r="F46" s="11"/>
      <c r="G46" s="11"/>
      <c r="H46" s="11"/>
      <c r="I46" s="13" t="str">
        <f aca="true">IF(H46="","",H46-TODAY())</f>
        <v/>
      </c>
      <c r="J46" s="11"/>
      <c r="K46" s="11"/>
      <c r="L46" s="14" t="str">
        <f aca="false">IF(J46="Solo English ($299)",299,IF(J46="Solo Bilingual ($379)",379,IF(J46="Group English ($499)",499,IF(J46="Group Bilingual ($599)",599,IF(J46="Enterprise ($2500)",2500,"")))))</f>
        <v/>
      </c>
    </row>
    <row r="47" customFormat="false" ht="21.75" hidden="false" customHeight="true" outlineLevel="0" collapsed="false">
      <c r="B47" s="4" t="n">
        <v>43</v>
      </c>
      <c r="C47" s="5"/>
      <c r="D47" s="5"/>
      <c r="E47" s="5"/>
      <c r="F47" s="5"/>
      <c r="G47" s="5"/>
      <c r="H47" s="5"/>
      <c r="I47" s="7" t="str">
        <f aca="true">IF(H47="","",H47-TODAY())</f>
        <v/>
      </c>
      <c r="J47" s="5"/>
      <c r="K47" s="5"/>
      <c r="L47" s="8" t="str">
        <f aca="false">IF(J47="Solo English ($299)",299,IF(J47="Solo Bilingual ($379)",379,IF(J47="Group English ($499)",499,IF(J47="Group Bilingual ($599)",599,IF(J47="Enterprise ($2500)",2500,"")))))</f>
        <v/>
      </c>
    </row>
    <row r="48" customFormat="false" ht="21.75" hidden="false" customHeight="true" outlineLevel="0" collapsed="false">
      <c r="B48" s="10" t="n">
        <v>44</v>
      </c>
      <c r="C48" s="11"/>
      <c r="D48" s="11"/>
      <c r="E48" s="11"/>
      <c r="F48" s="11"/>
      <c r="G48" s="11"/>
      <c r="H48" s="11"/>
      <c r="I48" s="13" t="str">
        <f aca="true">IF(H48="","",H48-TODAY())</f>
        <v/>
      </c>
      <c r="J48" s="11"/>
      <c r="K48" s="11"/>
      <c r="L48" s="14" t="str">
        <f aca="false">IF(J48="Solo English ($299)",299,IF(J48="Solo Bilingual ($379)",379,IF(J48="Group English ($499)",499,IF(J48="Group Bilingual ($599)",599,IF(J48="Enterprise ($2500)",2500,"")))))</f>
        <v/>
      </c>
    </row>
    <row r="49" customFormat="false" ht="21.75" hidden="false" customHeight="true" outlineLevel="0" collapsed="false">
      <c r="B49" s="4" t="n">
        <v>45</v>
      </c>
      <c r="C49" s="5"/>
      <c r="D49" s="5"/>
      <c r="E49" s="5"/>
      <c r="F49" s="5"/>
      <c r="G49" s="5"/>
      <c r="H49" s="5"/>
      <c r="I49" s="7" t="str">
        <f aca="true">IF(H49="","",H49-TODAY())</f>
        <v/>
      </c>
      <c r="J49" s="5"/>
      <c r="K49" s="5"/>
      <c r="L49" s="8" t="str">
        <f aca="false">IF(J49="Solo English ($299)",299,IF(J49="Solo Bilingual ($379)",379,IF(J49="Group English ($499)",499,IF(J49="Group Bilingual ($599)",599,IF(J49="Enterprise ($2500)",2500,"")))))</f>
        <v/>
      </c>
    </row>
    <row r="50" customFormat="false" ht="21.75" hidden="false" customHeight="true" outlineLevel="0" collapsed="false">
      <c r="B50" s="10" t="n">
        <v>46</v>
      </c>
      <c r="C50" s="11"/>
      <c r="D50" s="11"/>
      <c r="E50" s="11"/>
      <c r="F50" s="11"/>
      <c r="G50" s="11"/>
      <c r="H50" s="11"/>
      <c r="I50" s="13" t="str">
        <f aca="true">IF(H50="","",H50-TODAY())</f>
        <v/>
      </c>
      <c r="J50" s="11"/>
      <c r="K50" s="11"/>
      <c r="L50" s="14" t="str">
        <f aca="false">IF(J50="Solo English ($299)",299,IF(J50="Solo Bilingual ($379)",379,IF(J50="Group English ($499)",499,IF(J50="Group Bilingual ($599)",599,IF(J50="Enterprise ($2500)",2500,"")))))</f>
        <v/>
      </c>
    </row>
    <row r="51" customFormat="false" ht="21.75" hidden="false" customHeight="true" outlineLevel="0" collapsed="false">
      <c r="B51" s="4" t="n">
        <v>47</v>
      </c>
      <c r="C51" s="5"/>
      <c r="D51" s="5"/>
      <c r="E51" s="5"/>
      <c r="F51" s="5"/>
      <c r="G51" s="5"/>
      <c r="H51" s="5"/>
      <c r="I51" s="7" t="str">
        <f aca="true">IF(H51="","",H51-TODAY())</f>
        <v/>
      </c>
      <c r="J51" s="5"/>
      <c r="K51" s="5"/>
      <c r="L51" s="8" t="str">
        <f aca="false">IF(J51="Solo English ($299)",299,IF(J51="Solo Bilingual ($379)",379,IF(J51="Group English ($499)",499,IF(J51="Group Bilingual ($599)",599,IF(J51="Enterprise ($2500)",2500,"")))))</f>
        <v/>
      </c>
    </row>
    <row r="52" customFormat="false" ht="21.75" hidden="false" customHeight="true" outlineLevel="0" collapsed="false">
      <c r="B52" s="10" t="n">
        <v>48</v>
      </c>
      <c r="C52" s="11"/>
      <c r="D52" s="11"/>
      <c r="E52" s="11"/>
      <c r="F52" s="11"/>
      <c r="G52" s="11"/>
      <c r="H52" s="11"/>
      <c r="I52" s="13" t="str">
        <f aca="true">IF(H52="","",H52-TODAY())</f>
        <v/>
      </c>
      <c r="J52" s="11"/>
      <c r="K52" s="11"/>
      <c r="L52" s="14" t="str">
        <f aca="false">IF(J52="Solo English ($299)",299,IF(J52="Solo Bilingual ($379)",379,IF(J52="Group English ($499)",499,IF(J52="Group Bilingual ($599)",599,IF(J52="Enterprise ($2500)",2500,"")))))</f>
        <v/>
      </c>
    </row>
    <row r="53" customFormat="false" ht="21.75" hidden="false" customHeight="true" outlineLevel="0" collapsed="false">
      <c r="B53" s="4" t="n">
        <v>49</v>
      </c>
      <c r="C53" s="5"/>
      <c r="D53" s="5"/>
      <c r="E53" s="5"/>
      <c r="F53" s="5"/>
      <c r="G53" s="5"/>
      <c r="H53" s="5"/>
      <c r="I53" s="7" t="str">
        <f aca="true">IF(H53="","",H53-TODAY())</f>
        <v/>
      </c>
      <c r="J53" s="5"/>
      <c r="K53" s="5"/>
      <c r="L53" s="8" t="str">
        <f aca="false">IF(J53="Solo English ($299)",299,IF(J53="Solo Bilingual ($379)",379,IF(J53="Group English ($499)",499,IF(J53="Group Bilingual ($599)",599,IF(J53="Enterprise ($2500)",2500,"")))))</f>
        <v/>
      </c>
    </row>
    <row r="54" customFormat="false" ht="21.75" hidden="false" customHeight="true" outlineLevel="0" collapsed="false">
      <c r="B54" s="10" t="n">
        <v>50</v>
      </c>
      <c r="C54" s="11"/>
      <c r="D54" s="11"/>
      <c r="E54" s="11"/>
      <c r="F54" s="11"/>
      <c r="G54" s="11"/>
      <c r="H54" s="11"/>
      <c r="I54" s="13" t="str">
        <f aca="true">IF(H54="","",H54-TODAY())</f>
        <v/>
      </c>
      <c r="J54" s="11"/>
      <c r="K54" s="11"/>
      <c r="L54" s="14" t="str">
        <f aca="false">IF(J54="Solo English ($299)",299,IF(J54="Solo Bilingual ($379)",379,IF(J54="Group English ($499)",499,IF(J54="Group Bilingual ($599)",599,IF(J54="Enterprise ($2500)",2500,"")))))</f>
        <v/>
      </c>
    </row>
    <row r="55" customFormat="false" ht="24" hidden="false" customHeight="true" outlineLevel="0" collapsed="false">
      <c r="B55" s="15" t="s">
        <v>28</v>
      </c>
      <c r="C55" s="15"/>
      <c r="D55" s="15"/>
      <c r="E55" s="15"/>
      <c r="F55" s="16"/>
      <c r="G55" s="16"/>
      <c r="H55" s="16"/>
      <c r="I55" s="16"/>
      <c r="J55" s="16"/>
      <c r="K55" s="17" t="n">
        <f aca="false">COUNTIF(K5:K54,"Converted")</f>
        <v>0</v>
      </c>
      <c r="L55" s="18" t="n">
        <f aca="false">SUMIF(K5:K54,"Converted",L5:L54)</f>
        <v>0</v>
      </c>
    </row>
    <row r="57" customFormat="false" ht="18" hidden="false" customHeight="true" outlineLevel="0" collapsed="false">
      <c r="B57" s="19" t="s">
        <v>29</v>
      </c>
      <c r="C57" s="19"/>
      <c r="D57" s="19"/>
    </row>
    <row r="58" customFormat="false" ht="15.75" hidden="false" customHeight="true" outlineLevel="0" collapsed="false">
      <c r="B58" s="20" t="s">
        <v>30</v>
      </c>
      <c r="C58" s="20"/>
    </row>
    <row r="59" customFormat="false" ht="15.75" hidden="false" customHeight="true" outlineLevel="0" collapsed="false">
      <c r="B59" s="21" t="s">
        <v>31</v>
      </c>
      <c r="C59" s="21"/>
    </row>
    <row r="60" customFormat="false" ht="15.75" hidden="false" customHeight="true" outlineLevel="0" collapsed="false">
      <c r="B60" s="22" t="s">
        <v>32</v>
      </c>
      <c r="C60" s="22"/>
    </row>
    <row r="61" customFormat="false" ht="15.75" hidden="false" customHeight="true" outlineLevel="0" collapsed="false"/>
  </sheetData>
  <mergeCells count="7">
    <mergeCell ref="B2:L2"/>
    <mergeCell ref="B3:L3"/>
    <mergeCell ref="B55:E55"/>
    <mergeCell ref="B57:D57"/>
    <mergeCell ref="B58:C58"/>
    <mergeCell ref="B59:C59"/>
    <mergeCell ref="B60:C60"/>
  </mergeCells>
  <conditionalFormatting sqref="I5:I54">
    <cfRule type="expression" priority="2" aboveAverage="0" equalAverage="0" bottom="0" percent="0" rank="0" text="" dxfId="0">
      <formula>AND(I5&lt;&gt;"",$I5&lt;=7,$I5&gt;=0)</formula>
    </cfRule>
    <cfRule type="expression" priority="3" aboveAverage="0" equalAverage="0" bottom="0" percent="0" rank="0" text="" dxfId="1">
      <formula>AND(I5&lt;&gt;"",I5&gt;7,I5&lt;=14)</formula>
    </cfRule>
    <cfRule type="expression" priority="4" aboveAverage="0" equalAverage="0" bottom="0" percent="0" rank="0" text="" dxfId="2">
      <formula>AND(I5&lt;&gt;"",I5&gt;14)</formula>
    </cfRule>
  </conditionalFormatting>
  <conditionalFormatting sqref="K5:K54">
    <cfRule type="expression" priority="5" aboveAverage="0" equalAverage="0" bottom="0" percent="0" rank="0" text="" dxfId="2">
      <formula>$K5="Converted"</formula>
    </cfRule>
    <cfRule type="expression" priority="6" aboveAverage="0" equalAverage="0" bottom="0" percent="0" rank="0" text="" dxfId="3">
      <formula>$K5="Trial Active"</formula>
    </cfRule>
    <cfRule type="expression" priority="7" aboveAverage="0" equalAverage="0" bottom="0" percent="0" rank="0" text="" dxfId="4">
      <formula>$K5="Demo Booked"</formula>
    </cfRule>
    <cfRule type="expression" priority="8" aboveAverage="0" equalAverage="0" bottom="0" percent="0" rank="0" text="" dxfId="5">
      <formula>$K5="Not Interested"</formula>
    </cfRule>
  </conditionalFormatting>
  <dataValidations count="2">
    <dataValidation allowBlank="true" errorStyle="stop" operator="between" showDropDown="false" showErrorMessage="false" showInputMessage="false" sqref="K5:K54" type="list">
      <formula1>"Trial Active,Demo Booked,Converted,Not Interested,No Reply,Follow Up"</formula1>
      <formula2>0</formula2>
    </dataValidation>
    <dataValidation allowBlank="true" errorStyle="stop" operator="between" showDropDown="false" showErrorMessage="false" showInputMessage="false" sqref="J5:J54" type="list">
      <formula1>"Solo English ($299),Solo Bilingual ($379),Group English ($499),Group Bilingual ($599),Enterprise ($2500)"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8" min="8" style="0" width="24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1" t="s">
        <v>33</v>
      </c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B3" s="2" t="s">
        <v>34</v>
      </c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B4" s="3" t="s">
        <v>3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</row>
    <row r="5" customFormat="false" ht="19.5" hidden="false" customHeight="true" outlineLevel="0" collapsed="false">
      <c r="B5" s="23" t="s">
        <v>41</v>
      </c>
      <c r="C5" s="24"/>
      <c r="D5" s="24"/>
      <c r="E5" s="24"/>
      <c r="F5" s="24"/>
      <c r="G5" s="24"/>
      <c r="H5" s="24"/>
    </row>
    <row r="6" customFormat="false" ht="19.5" hidden="false" customHeight="true" outlineLevel="0" collapsed="false">
      <c r="B6" s="23" t="s">
        <v>42</v>
      </c>
      <c r="C6" s="24"/>
      <c r="D6" s="24"/>
      <c r="E6" s="24"/>
      <c r="F6" s="24"/>
      <c r="G6" s="24"/>
      <c r="H6" s="24"/>
    </row>
    <row r="7" customFormat="false" ht="19.5" hidden="false" customHeight="true" outlineLevel="0" collapsed="false">
      <c r="B7" s="23" t="s">
        <v>43</v>
      </c>
      <c r="C7" s="24"/>
      <c r="D7" s="24"/>
      <c r="E7" s="24"/>
      <c r="F7" s="24"/>
      <c r="G7" s="24"/>
      <c r="H7" s="24"/>
    </row>
    <row r="8" customFormat="false" ht="19.5" hidden="false" customHeight="true" outlineLevel="0" collapsed="false">
      <c r="B8" s="23" t="s">
        <v>44</v>
      </c>
      <c r="C8" s="24"/>
      <c r="D8" s="24"/>
      <c r="E8" s="24"/>
      <c r="F8" s="24"/>
      <c r="G8" s="24"/>
      <c r="H8" s="24"/>
    </row>
    <row r="9" customFormat="false" ht="19.5" hidden="false" customHeight="true" outlineLevel="0" collapsed="false">
      <c r="B9" s="23" t="s">
        <v>45</v>
      </c>
      <c r="C9" s="24"/>
      <c r="D9" s="24"/>
      <c r="E9" s="24"/>
      <c r="F9" s="24"/>
      <c r="G9" s="24"/>
      <c r="H9" s="24"/>
    </row>
    <row r="10" customFormat="false" ht="19.5" hidden="false" customHeight="true" outlineLevel="0" collapsed="false">
      <c r="B10" s="23" t="s">
        <v>46</v>
      </c>
      <c r="C10" s="24"/>
      <c r="D10" s="24"/>
      <c r="E10" s="24"/>
      <c r="F10" s="24"/>
      <c r="G10" s="24"/>
      <c r="H10" s="24"/>
    </row>
    <row r="11" customFormat="false" ht="19.5" hidden="false" customHeight="true" outlineLevel="0" collapsed="false">
      <c r="B11" s="23" t="s">
        <v>47</v>
      </c>
      <c r="C11" s="24"/>
      <c r="D11" s="24"/>
      <c r="E11" s="24"/>
      <c r="F11" s="24"/>
      <c r="G11" s="24"/>
      <c r="H11" s="24"/>
    </row>
    <row r="12" customFormat="false" ht="19.5" hidden="false" customHeight="true" outlineLevel="0" collapsed="false">
      <c r="B12" s="23" t="s">
        <v>48</v>
      </c>
      <c r="C12" s="24"/>
      <c r="D12" s="24"/>
      <c r="E12" s="24"/>
      <c r="F12" s="24"/>
      <c r="G12" s="24"/>
      <c r="H12" s="24"/>
    </row>
    <row r="13" customFormat="false" ht="19.5" hidden="false" customHeight="true" outlineLevel="0" collapsed="false">
      <c r="B13" s="5" t="s">
        <v>24</v>
      </c>
      <c r="C13" s="25"/>
      <c r="D13" s="25"/>
      <c r="E13" s="25"/>
      <c r="F13" s="25"/>
      <c r="G13" s="25"/>
      <c r="H13" s="25"/>
    </row>
    <row r="14" customFormat="false" ht="19.5" hidden="false" customHeight="true" outlineLevel="0" collapsed="false">
      <c r="B14" s="11" t="s">
        <v>49</v>
      </c>
      <c r="C14" s="26"/>
      <c r="D14" s="26"/>
      <c r="E14" s="26"/>
      <c r="F14" s="26"/>
      <c r="G14" s="26"/>
      <c r="H14" s="26"/>
    </row>
    <row r="15" customFormat="false" ht="19.5" hidden="false" customHeight="true" outlineLevel="0" collapsed="false">
      <c r="B15" s="5" t="s">
        <v>50</v>
      </c>
      <c r="C15" s="25"/>
      <c r="D15" s="25"/>
      <c r="E15" s="25"/>
      <c r="F15" s="25"/>
      <c r="G15" s="25"/>
      <c r="H15" s="25"/>
    </row>
    <row r="16" customFormat="false" ht="19.5" hidden="false" customHeight="true" outlineLevel="0" collapsed="false">
      <c r="B16" s="11" t="s">
        <v>51</v>
      </c>
      <c r="C16" s="26"/>
      <c r="D16" s="26"/>
      <c r="E16" s="26"/>
      <c r="F16" s="26"/>
      <c r="G16" s="26"/>
      <c r="H16" s="26"/>
    </row>
    <row r="17" customFormat="false" ht="19.5" hidden="false" customHeight="true" outlineLevel="0" collapsed="false">
      <c r="B17" s="5" t="s">
        <v>52</v>
      </c>
      <c r="C17" s="25"/>
      <c r="D17" s="25"/>
      <c r="E17" s="25"/>
      <c r="F17" s="25"/>
      <c r="G17" s="25"/>
      <c r="H17" s="25"/>
    </row>
    <row r="18" customFormat="false" ht="19.5" hidden="false" customHeight="true" outlineLevel="0" collapsed="false">
      <c r="B18" s="11" t="s">
        <v>53</v>
      </c>
      <c r="C18" s="26"/>
      <c r="D18" s="26"/>
      <c r="E18" s="26"/>
      <c r="F18" s="26"/>
      <c r="G18" s="26"/>
      <c r="H18" s="26"/>
    </row>
    <row r="19" customFormat="false" ht="19.5" hidden="false" customHeight="true" outlineLevel="0" collapsed="false">
      <c r="B19" s="5" t="s">
        <v>54</v>
      </c>
      <c r="C19" s="25"/>
      <c r="D19" s="25"/>
      <c r="E19" s="25"/>
      <c r="F19" s="25"/>
      <c r="G19" s="25"/>
      <c r="H19" s="25"/>
    </row>
    <row r="20" customFormat="false" ht="19.5" hidden="false" customHeight="true" outlineLevel="0" collapsed="false">
      <c r="B20" s="11" t="s">
        <v>55</v>
      </c>
      <c r="C20" s="26"/>
      <c r="D20" s="26"/>
      <c r="E20" s="26"/>
      <c r="F20" s="26"/>
      <c r="G20" s="26"/>
      <c r="H20" s="26"/>
    </row>
    <row r="21" customFormat="false" ht="19.5" hidden="false" customHeight="true" outlineLevel="0" collapsed="false">
      <c r="B21" s="5" t="s">
        <v>56</v>
      </c>
      <c r="C21" s="25"/>
      <c r="D21" s="25"/>
      <c r="E21" s="25"/>
      <c r="F21" s="25"/>
      <c r="G21" s="25"/>
      <c r="H21" s="25"/>
    </row>
    <row r="22" customFormat="false" ht="19.5" hidden="false" customHeight="true" outlineLevel="0" collapsed="false">
      <c r="B22" s="11" t="s">
        <v>57</v>
      </c>
      <c r="C22" s="26"/>
      <c r="D22" s="26"/>
      <c r="E22" s="26"/>
      <c r="F22" s="26"/>
      <c r="G22" s="26"/>
      <c r="H22" s="26"/>
    </row>
    <row r="23" customFormat="false" ht="19.5" hidden="false" customHeight="true" outlineLevel="0" collapsed="false">
      <c r="B23" s="5" t="s">
        <v>58</v>
      </c>
      <c r="C23" s="25"/>
      <c r="D23" s="25"/>
      <c r="E23" s="25"/>
      <c r="F23" s="25"/>
      <c r="G23" s="25"/>
      <c r="H23" s="25"/>
    </row>
    <row r="24" customFormat="false" ht="19.5" hidden="false" customHeight="true" outlineLevel="0" collapsed="false">
      <c r="B24" s="11" t="s">
        <v>59</v>
      </c>
      <c r="C24" s="26"/>
      <c r="D24" s="26"/>
      <c r="E24" s="26"/>
      <c r="F24" s="26"/>
      <c r="G24" s="26"/>
      <c r="H24" s="26"/>
    </row>
    <row r="25" customFormat="false" ht="19.5" hidden="false" customHeight="true" outlineLevel="0" collapsed="false">
      <c r="B25" s="5" t="s">
        <v>60</v>
      </c>
      <c r="C25" s="25"/>
      <c r="D25" s="25"/>
      <c r="E25" s="25"/>
      <c r="F25" s="25"/>
      <c r="G25" s="25"/>
      <c r="H25" s="25"/>
    </row>
    <row r="26" customFormat="false" ht="19.5" hidden="false" customHeight="true" outlineLevel="0" collapsed="false">
      <c r="B26" s="11" t="s">
        <v>61</v>
      </c>
      <c r="C26" s="26"/>
      <c r="D26" s="26"/>
      <c r="E26" s="26"/>
      <c r="F26" s="26"/>
      <c r="G26" s="26"/>
      <c r="H26" s="26"/>
    </row>
    <row r="27" customFormat="false" ht="19.5" hidden="false" customHeight="true" outlineLevel="0" collapsed="false">
      <c r="B27" s="5" t="s">
        <v>62</v>
      </c>
      <c r="C27" s="25"/>
      <c r="D27" s="25"/>
      <c r="E27" s="25"/>
      <c r="F27" s="25"/>
      <c r="G27" s="25"/>
      <c r="H27" s="25"/>
    </row>
    <row r="28" customFormat="false" ht="19.5" hidden="false" customHeight="true" outlineLevel="0" collapsed="false">
      <c r="B28" s="11" t="s">
        <v>63</v>
      </c>
      <c r="C28" s="26"/>
      <c r="D28" s="26"/>
      <c r="E28" s="26"/>
      <c r="F28" s="26"/>
      <c r="G28" s="26"/>
      <c r="H28" s="26"/>
    </row>
    <row r="29" customFormat="false" ht="19.5" hidden="false" customHeight="true" outlineLevel="0" collapsed="false">
      <c r="B29" s="5" t="s">
        <v>64</v>
      </c>
      <c r="C29" s="25"/>
      <c r="D29" s="25"/>
      <c r="E29" s="25"/>
      <c r="F29" s="25"/>
      <c r="G29" s="25"/>
      <c r="H29" s="25"/>
    </row>
    <row r="30" customFormat="false" ht="19.5" hidden="false" customHeight="true" outlineLevel="0" collapsed="false">
      <c r="B30" s="11" t="s">
        <v>65</v>
      </c>
      <c r="C30" s="26"/>
      <c r="D30" s="26"/>
      <c r="E30" s="26"/>
      <c r="F30" s="26"/>
      <c r="G30" s="26"/>
      <c r="H30" s="26"/>
    </row>
    <row r="31" customFormat="false" ht="19.5" hidden="false" customHeight="true" outlineLevel="0" collapsed="false">
      <c r="B31" s="5" t="s">
        <v>66</v>
      </c>
      <c r="C31" s="25"/>
      <c r="D31" s="25"/>
      <c r="E31" s="25"/>
      <c r="F31" s="25"/>
      <c r="G31" s="25"/>
      <c r="H31" s="25"/>
    </row>
    <row r="32" customFormat="false" ht="19.5" hidden="false" customHeight="true" outlineLevel="0" collapsed="false">
      <c r="B32" s="11" t="s">
        <v>67</v>
      </c>
      <c r="C32" s="26"/>
      <c r="D32" s="26"/>
      <c r="E32" s="26"/>
      <c r="F32" s="26"/>
      <c r="G32" s="26"/>
      <c r="H32" s="26"/>
    </row>
    <row r="33" customFormat="false" ht="19.5" hidden="false" customHeight="true" outlineLevel="0" collapsed="false">
      <c r="B33" s="5" t="s">
        <v>68</v>
      </c>
      <c r="C33" s="25"/>
      <c r="D33" s="25"/>
      <c r="E33" s="25"/>
      <c r="F33" s="25"/>
      <c r="G33" s="25"/>
      <c r="H33" s="25"/>
    </row>
    <row r="34" customFormat="false" ht="19.5" hidden="false" customHeight="true" outlineLevel="0" collapsed="false">
      <c r="B34" s="11" t="s">
        <v>69</v>
      </c>
      <c r="C34" s="26"/>
      <c r="D34" s="26"/>
      <c r="E34" s="26"/>
      <c r="F34" s="26"/>
      <c r="G34" s="26"/>
      <c r="H34" s="26"/>
    </row>
    <row r="35" customFormat="false" ht="19.5" hidden="false" customHeight="true" outlineLevel="0" collapsed="false">
      <c r="B35" s="5" t="s">
        <v>70</v>
      </c>
      <c r="C35" s="25"/>
      <c r="D35" s="25"/>
      <c r="E35" s="25"/>
      <c r="F35" s="25"/>
      <c r="G35" s="25"/>
      <c r="H35" s="25"/>
    </row>
    <row r="36" customFormat="false" ht="19.5" hidden="false" customHeight="true" outlineLevel="0" collapsed="false">
      <c r="B36" s="23" t="s">
        <v>71</v>
      </c>
      <c r="C36" s="24"/>
      <c r="D36" s="24"/>
      <c r="E36" s="24"/>
      <c r="F36" s="24"/>
      <c r="G36" s="24"/>
      <c r="H36" s="24"/>
    </row>
    <row r="37" customFormat="false" ht="19.5" hidden="false" customHeight="true" outlineLevel="0" collapsed="false">
      <c r="B37" s="23" t="s">
        <v>72</v>
      </c>
      <c r="C37" s="24"/>
      <c r="D37" s="24"/>
      <c r="E37" s="24"/>
      <c r="F37" s="24"/>
      <c r="G37" s="24"/>
      <c r="H37" s="24"/>
    </row>
    <row r="38" customFormat="false" ht="19.5" hidden="false" customHeight="true" outlineLevel="0" collapsed="false">
      <c r="B38" s="23" t="s">
        <v>73</v>
      </c>
      <c r="C38" s="24"/>
      <c r="D38" s="24"/>
      <c r="E38" s="24"/>
      <c r="F38" s="24"/>
      <c r="G38" s="24"/>
      <c r="H38" s="24"/>
    </row>
    <row r="39" customFormat="false" ht="19.5" hidden="false" customHeight="true" outlineLevel="0" collapsed="false">
      <c r="B39" s="23" t="s">
        <v>74</v>
      </c>
      <c r="C39" s="24"/>
      <c r="D39" s="24"/>
      <c r="E39" s="24"/>
      <c r="F39" s="24"/>
      <c r="G39" s="24"/>
      <c r="H39" s="24"/>
    </row>
    <row r="40" customFormat="false" ht="19.5" hidden="false" customHeight="true" outlineLevel="0" collapsed="false">
      <c r="B40" s="23" t="s">
        <v>75</v>
      </c>
      <c r="C40" s="24"/>
      <c r="D40" s="24"/>
      <c r="E40" s="24"/>
      <c r="F40" s="24"/>
      <c r="G40" s="24"/>
      <c r="H40" s="24"/>
    </row>
  </sheetData>
  <mergeCells count="2">
    <mergeCell ref="B2:H2"/>
    <mergeCell ref="B3:H3"/>
  </mergeCells>
  <dataValidations count="1">
    <dataValidation allowBlank="true" errorStyle="stop" operator="between" showDropDown="false" showErrorMessage="false" showInputMessage="false" sqref="C5:G40" type="list">
      <formula1>"✓,—"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6" min="3" style="0" width="18"/>
    <col collapsed="false" customWidth="true" hidden="false" outlineLevel="0" max="7" min="7" style="0" width="20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1" t="s">
        <v>76</v>
      </c>
      <c r="C2" s="1"/>
      <c r="D2" s="1"/>
      <c r="E2" s="1"/>
      <c r="F2" s="1"/>
      <c r="G2" s="1"/>
    </row>
    <row r="3" customFormat="false" ht="19.5" hidden="false" customHeight="true" outlineLevel="0" collapsed="false">
      <c r="B3" s="2" t="s">
        <v>77</v>
      </c>
      <c r="C3" s="2"/>
      <c r="D3" s="2"/>
      <c r="E3" s="2"/>
      <c r="F3" s="2"/>
      <c r="G3" s="2"/>
    </row>
    <row r="5" customFormat="false" ht="21.75" hidden="false" customHeight="true" outlineLevel="0" collapsed="false">
      <c r="B5" s="27" t="s">
        <v>78</v>
      </c>
      <c r="C5" s="27"/>
      <c r="D5" s="28" t="s">
        <v>79</v>
      </c>
      <c r="E5" s="28"/>
      <c r="F5" s="29" t="s">
        <v>12</v>
      </c>
      <c r="G5" s="29"/>
    </row>
    <row r="6" customFormat="false" ht="39.75" hidden="false" customHeight="true" outlineLevel="0" collapsed="false">
      <c r="B6" s="30" t="n">
        <f aca="false">'Trial Tracker'!K55</f>
        <v>0</v>
      </c>
      <c r="C6" s="30"/>
      <c r="D6" s="31" t="n">
        <f aca="false">COUNTIF('Trial Tracker'!K5:K54,"Converted")</f>
        <v>0</v>
      </c>
      <c r="E6" s="31"/>
      <c r="F6" s="32" t="n">
        <f aca="false">SUM('Trial Tracker'!L5:L54)</f>
        <v>1057</v>
      </c>
      <c r="G6" s="32"/>
    </row>
    <row r="7" customFormat="false" ht="7.5" hidden="false" customHeight="true" outlineLevel="0" collapsed="false">
      <c r="B7" s="33"/>
      <c r="C7" s="33"/>
      <c r="D7" s="33"/>
      <c r="E7" s="33"/>
      <c r="F7" s="33"/>
      <c r="G7" s="33"/>
    </row>
    <row r="9" customFormat="false" ht="15" hidden="false" customHeight="true" outlineLevel="0" collapsed="false">
      <c r="B9" s="34" t="s">
        <v>80</v>
      </c>
      <c r="C9" s="34"/>
      <c r="D9" s="34"/>
      <c r="E9" s="34"/>
      <c r="F9" s="34"/>
      <c r="G9" s="34"/>
    </row>
    <row r="10" customFormat="false" ht="21.75" hidden="false" customHeight="true" outlineLevel="0" collapsed="false">
      <c r="B10" s="35" t="s">
        <v>81</v>
      </c>
      <c r="C10" s="36" t="s">
        <v>82</v>
      </c>
      <c r="D10" s="36"/>
      <c r="E10" s="37" t="s">
        <v>83</v>
      </c>
      <c r="F10" s="37"/>
      <c r="G10" s="37"/>
    </row>
    <row r="11" customFormat="false" ht="21.75" hidden="false" customHeight="true" outlineLevel="0" collapsed="false">
      <c r="B11" s="38" t="s">
        <v>84</v>
      </c>
      <c r="C11" s="39" t="s">
        <v>85</v>
      </c>
      <c r="D11" s="39"/>
      <c r="E11" s="40" t="s">
        <v>86</v>
      </c>
      <c r="F11" s="40"/>
      <c r="G11" s="40"/>
    </row>
    <row r="12" customFormat="false" ht="21.75" hidden="false" customHeight="true" outlineLevel="0" collapsed="false">
      <c r="B12" s="35" t="s">
        <v>87</v>
      </c>
      <c r="C12" s="36" t="s">
        <v>88</v>
      </c>
      <c r="D12" s="36"/>
      <c r="E12" s="37" t="s">
        <v>89</v>
      </c>
      <c r="F12" s="37"/>
      <c r="G12" s="37"/>
    </row>
    <row r="13" customFormat="false" ht="21.75" hidden="false" customHeight="true" outlineLevel="0" collapsed="false">
      <c r="B13" s="38" t="s">
        <v>90</v>
      </c>
      <c r="C13" s="39" t="s">
        <v>91</v>
      </c>
      <c r="D13" s="39"/>
      <c r="E13" s="40" t="s">
        <v>92</v>
      </c>
      <c r="F13" s="40"/>
      <c r="G13" s="40"/>
    </row>
    <row r="14" customFormat="false" ht="21.75" hidden="false" customHeight="true" outlineLevel="0" collapsed="false">
      <c r="B14" s="35" t="s">
        <v>93</v>
      </c>
      <c r="C14" s="36" t="s">
        <v>94</v>
      </c>
      <c r="D14" s="36"/>
      <c r="E14" s="37" t="s">
        <v>95</v>
      </c>
      <c r="F14" s="37"/>
      <c r="G14" s="37"/>
    </row>
  </sheetData>
  <mergeCells count="22">
    <mergeCell ref="B2:G2"/>
    <mergeCell ref="B3:G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2026-04-02T01:31:43Z</dcterms:created>
  <dc:creator>openpyxl</dc:creator>
  <dc:description/>
  <dc:language>en-US</dc:language>
  <cp:lastModifiedBy/>
  <dcterms:modified xsi:type="dcterms:W3CDTF">2026-04-02T01:31:43Z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